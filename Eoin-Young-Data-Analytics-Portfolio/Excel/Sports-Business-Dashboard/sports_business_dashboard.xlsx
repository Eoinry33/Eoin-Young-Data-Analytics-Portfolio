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KPI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Ticket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Data'!$A$2:$A$13</f>
            </numRef>
          </cat>
          <val>
            <numRef>
              <f>'Monthly Data'!$E$2:$E$13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Attendance</t>
        </is>
      </c>
      <c r="C1" s="1" t="inlineStr">
        <is>
          <t>Capacity</t>
        </is>
      </c>
      <c r="D1" s="1" t="inlineStr">
        <is>
          <t>Attendance Rate</t>
        </is>
      </c>
      <c r="E1" s="1" t="inlineStr">
        <is>
          <t>Ticket Revenue</t>
        </is>
      </c>
      <c r="F1" s="1" t="inlineStr">
        <is>
          <t>Avg Ticket Price</t>
        </is>
      </c>
      <c r="G1" s="1" t="inlineStr">
        <is>
          <t>Revenue / Attendee</t>
        </is>
      </c>
    </row>
    <row r="2">
      <c r="A2" t="inlineStr">
        <is>
          <t>Jan</t>
        </is>
      </c>
      <c r="B2" t="n">
        <v>18500</v>
      </c>
      <c r="C2" t="n">
        <v>22000</v>
      </c>
      <c r="D2" s="2">
        <f>B2/C2</f>
        <v/>
      </c>
      <c r="E2" s="3" t="n">
        <v>462500</v>
      </c>
      <c r="F2" s="3">
        <f>E2/B2</f>
        <v/>
      </c>
      <c r="G2" s="3">
        <f>E2/B2</f>
        <v/>
      </c>
    </row>
    <row r="3">
      <c r="A3" t="inlineStr">
        <is>
          <t>Feb</t>
        </is>
      </c>
      <c r="B3" t="n">
        <v>19100</v>
      </c>
      <c r="C3" t="n">
        <v>22000</v>
      </c>
      <c r="D3" s="2">
        <f>B3/C3</f>
        <v/>
      </c>
      <c r="E3" s="3" t="n">
        <v>496600</v>
      </c>
      <c r="F3" s="3">
        <f>E3/B3</f>
        <v/>
      </c>
      <c r="G3" s="3">
        <f>E3/B3</f>
        <v/>
      </c>
    </row>
    <row r="4">
      <c r="A4" t="inlineStr">
        <is>
          <t>Mar</t>
        </is>
      </c>
      <c r="B4" t="n">
        <v>20400</v>
      </c>
      <c r="C4" t="n">
        <v>22000</v>
      </c>
      <c r="D4" s="2">
        <f>B4/C4</f>
        <v/>
      </c>
      <c r="E4" s="3" t="n">
        <v>530400</v>
      </c>
      <c r="F4" s="3">
        <f>E4/B4</f>
        <v/>
      </c>
      <c r="G4" s="3">
        <f>E4/B4</f>
        <v/>
      </c>
    </row>
    <row r="5">
      <c r="A5" t="inlineStr">
        <is>
          <t>Apr</t>
        </is>
      </c>
      <c r="B5" t="n">
        <v>17600</v>
      </c>
      <c r="C5" t="n">
        <v>22000</v>
      </c>
      <c r="D5" s="2">
        <f>B5/C5</f>
        <v/>
      </c>
      <c r="E5" s="3" t="n">
        <v>440000</v>
      </c>
      <c r="F5" s="3">
        <f>E5/B5</f>
        <v/>
      </c>
      <c r="G5" s="3">
        <f>E5/B5</f>
        <v/>
      </c>
    </row>
    <row r="6">
      <c r="A6" t="inlineStr">
        <is>
          <t>May</t>
        </is>
      </c>
      <c r="B6" t="n">
        <v>21400</v>
      </c>
      <c r="C6" t="n">
        <v>22000</v>
      </c>
      <c r="D6" s="2">
        <f>B6/C6</f>
        <v/>
      </c>
      <c r="E6" s="3" t="n">
        <v>556400</v>
      </c>
      <c r="F6" s="3">
        <f>E6/B6</f>
        <v/>
      </c>
      <c r="G6" s="3">
        <f>E6/B6</f>
        <v/>
      </c>
    </row>
    <row r="7">
      <c r="A7" t="inlineStr">
        <is>
          <t>Jun</t>
        </is>
      </c>
      <c r="B7" t="n">
        <v>20800</v>
      </c>
      <c r="C7" t="n">
        <v>22000</v>
      </c>
      <c r="D7" s="2">
        <f>B7/C7</f>
        <v/>
      </c>
      <c r="E7" s="3" t="n">
        <v>540800</v>
      </c>
      <c r="F7" s="3">
        <f>E7/B7</f>
        <v/>
      </c>
      <c r="G7" s="3">
        <f>E7/B7</f>
        <v/>
      </c>
    </row>
    <row r="8">
      <c r="A8" t="inlineStr">
        <is>
          <t>Jul</t>
        </is>
      </c>
      <c r="B8" t="n">
        <v>21800</v>
      </c>
      <c r="C8" t="n">
        <v>22000</v>
      </c>
      <c r="D8" s="2">
        <f>B8/C8</f>
        <v/>
      </c>
      <c r="E8" s="3" t="n">
        <v>588600</v>
      </c>
      <c r="F8" s="3">
        <f>E8/B8</f>
        <v/>
      </c>
      <c r="G8" s="3">
        <f>E8/B8</f>
        <v/>
      </c>
    </row>
    <row r="9">
      <c r="A9" t="inlineStr">
        <is>
          <t>Aug</t>
        </is>
      </c>
      <c r="B9" t="n">
        <v>20100</v>
      </c>
      <c r="C9" t="n">
        <v>22000</v>
      </c>
      <c r="D9" s="2">
        <f>B9/C9</f>
        <v/>
      </c>
      <c r="E9" s="3" t="n">
        <v>522600</v>
      </c>
      <c r="F9" s="3">
        <f>E9/B9</f>
        <v/>
      </c>
      <c r="G9" s="3">
        <f>E9/B9</f>
        <v/>
      </c>
    </row>
    <row r="10">
      <c r="A10" t="inlineStr">
        <is>
          <t>Sep</t>
        </is>
      </c>
      <c r="B10" t="n">
        <v>19300</v>
      </c>
      <c r="C10" t="n">
        <v>22000</v>
      </c>
      <c r="D10" s="2">
        <f>B10/C10</f>
        <v/>
      </c>
      <c r="E10" s="3" t="n">
        <v>501800</v>
      </c>
      <c r="F10" s="3">
        <f>E10/B10</f>
        <v/>
      </c>
      <c r="G10" s="3">
        <f>E10/B10</f>
        <v/>
      </c>
    </row>
    <row r="11">
      <c r="A11" t="inlineStr">
        <is>
          <t>Oct</t>
        </is>
      </c>
      <c r="B11" t="n">
        <v>21600</v>
      </c>
      <c r="C11" t="n">
        <v>22000</v>
      </c>
      <c r="D11" s="2">
        <f>B11/C11</f>
        <v/>
      </c>
      <c r="E11" s="3" t="n">
        <v>583200</v>
      </c>
      <c r="F11" s="3">
        <f>E11/B11</f>
        <v/>
      </c>
      <c r="G11" s="3">
        <f>E11/B11</f>
        <v/>
      </c>
    </row>
    <row r="12">
      <c r="A12" t="inlineStr">
        <is>
          <t>Nov</t>
        </is>
      </c>
      <c r="B12" t="n">
        <v>21100</v>
      </c>
      <c r="C12" t="n">
        <v>22000</v>
      </c>
      <c r="D12" s="2">
        <f>B12/C12</f>
        <v/>
      </c>
      <c r="E12" s="3" t="n">
        <v>569700</v>
      </c>
      <c r="F12" s="3">
        <f>E12/B12</f>
        <v/>
      </c>
      <c r="G12" s="3">
        <f>E12/B12</f>
        <v/>
      </c>
    </row>
    <row r="13">
      <c r="A13" t="inlineStr">
        <is>
          <t>Dec</t>
        </is>
      </c>
      <c r="B13" t="n">
        <v>21900</v>
      </c>
      <c r="C13" t="n">
        <v>22000</v>
      </c>
      <c r="D13" s="2">
        <f>B13/C13</f>
        <v/>
      </c>
      <c r="E13" s="3" t="n">
        <v>591300</v>
      </c>
      <c r="F13" s="3">
        <f>E13/B13</f>
        <v/>
      </c>
      <c r="G13" s="3">
        <f>E13/B13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SPORTS BUSINESS KPI DASHBOARD</t>
        </is>
      </c>
    </row>
    <row r="3">
      <c r="A3" s="1" t="inlineStr">
        <is>
          <t>Total Attendance</t>
        </is>
      </c>
      <c r="B3">
        <f>SUM('Monthly Data'!B2:B13)</f>
        <v/>
      </c>
    </row>
    <row r="4">
      <c r="A4" s="1" t="inlineStr">
        <is>
          <t>Average Attendance Rate</t>
        </is>
      </c>
      <c r="B4" s="2">
        <f>AVERAGE('Monthly Data'!D2:D13)</f>
        <v/>
      </c>
    </row>
    <row r="5">
      <c r="A5" s="1" t="inlineStr">
        <is>
          <t>Total Ticket Revenue</t>
        </is>
      </c>
      <c r="B5" s="3">
        <f>SUM('Monthly Data'!E2:E13)</f>
        <v/>
      </c>
    </row>
    <row r="6">
      <c r="A6" s="1" t="inlineStr">
        <is>
          <t>Average Ticket Price</t>
        </is>
      </c>
      <c r="B6" s="3">
        <f>AVERAGE('Monthly Data'!F2:F13)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2026-09-02T14:02:35Z</dcterms:created>
  <dcterms:modified xmlns:dcterms="http://purl.org/dc/terms/" xmlns:xsi="http://www.w3.org/2001/XMLSchema-instance" xsi:type="dcterms:W3CDTF">2026-09-02T14:02:35Z</dcterms:modified>
</cp:coreProperties>
</file>