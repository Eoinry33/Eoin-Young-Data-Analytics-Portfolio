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Home attendance by team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'Team 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'Team Data'!$A$2:$A$33</f>
            </numRef>
          </cat>
          <val>
            <numRef>
              <f>'Team Data'!$H$2:$H$33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Attendance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Wins by team</a:t>
            </a:r>
          </a:p>
        </rich>
      </tx>
    </title>
    <plotArea>
      <lineChart>
        <grouping val="standard"/>
        <ser>
          <idx val="0"/>
          <order val="0"/>
          <tx>
            <strRef>
              <f>'Team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'Team Data'!$A$2:$A$33</f>
            </numRef>
          </cat>
          <val>
            <numRef>
              <f>'Team Data'!$C$2:$C$33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27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1" customWidth="1" min="9" max="9"/>
  </cols>
  <sheetData>
    <row r="1">
      <c r="A1" s="1" t="inlineStr">
        <is>
          <t>Team</t>
        </is>
      </c>
      <c r="B1" s="1" t="inlineStr">
        <is>
          <t>Division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%</t>
        </is>
      </c>
      <c r="F1" s="1" t="inlineStr">
        <is>
          <t>Point Diff</t>
        </is>
      </c>
      <c r="G1" s="1" t="inlineStr">
        <is>
          <t>Home Games</t>
        </is>
      </c>
      <c r="H1" s="1" t="inlineStr">
        <is>
          <t>Home Attendance</t>
        </is>
      </c>
      <c r="I1" s="1" t="inlineStr">
        <is>
          <t>Home Avg Attendance</t>
        </is>
      </c>
    </row>
    <row r="2">
      <c r="A2" t="inlineStr">
        <is>
          <t>BUF</t>
        </is>
      </c>
      <c r="B2" t="inlineStr">
        <is>
          <t>AFC East</t>
        </is>
      </c>
      <c r="C2" t="n">
        <v>13</v>
      </c>
      <c r="D2" t="n">
        <v>4</v>
      </c>
      <c r="E2">
        <f>C2/(C2+D2)</f>
        <v/>
      </c>
      <c r="F2" t="n">
        <v>157</v>
      </c>
      <c r="G2" t="n">
        <v>8</v>
      </c>
      <c r="H2" t="n">
        <v>565564</v>
      </c>
      <c r="I2" t="n">
        <v>70695.5</v>
      </c>
    </row>
    <row r="3">
      <c r="A3" t="inlineStr">
        <is>
          <t>MIA</t>
        </is>
      </c>
      <c r="B3" t="inlineStr">
        <is>
          <t>AFC East</t>
        </is>
      </c>
      <c r="C3" t="n">
        <v>8</v>
      </c>
      <c r="D3" t="n">
        <v>9</v>
      </c>
      <c r="E3">
        <f>C3/(C3+D3)</f>
        <v/>
      </c>
      <c r="F3" t="n">
        <v>-19</v>
      </c>
      <c r="G3" t="n">
        <v>8</v>
      </c>
      <c r="H3" t="n">
        <v>525150</v>
      </c>
      <c r="I3" t="n">
        <v>65643.75</v>
      </c>
    </row>
    <row r="4">
      <c r="A4" t="inlineStr">
        <is>
          <t>NYJ</t>
        </is>
      </c>
      <c r="B4" t="inlineStr">
        <is>
          <t>AFC East</t>
        </is>
      </c>
      <c r="C4" t="n">
        <v>5</v>
      </c>
      <c r="D4" t="n">
        <v>12</v>
      </c>
      <c r="E4">
        <f>C4/(C4+D4)</f>
        <v/>
      </c>
      <c r="F4" t="n">
        <v>-66</v>
      </c>
      <c r="G4" t="n">
        <v>7</v>
      </c>
      <c r="H4" t="n">
        <v>551528</v>
      </c>
      <c r="I4" t="n">
        <v>78789.71428571429</v>
      </c>
    </row>
    <row r="5">
      <c r="A5" t="inlineStr">
        <is>
          <t>NE</t>
        </is>
      </c>
      <c r="B5" t="inlineStr">
        <is>
          <t>AFC East</t>
        </is>
      </c>
      <c r="C5" t="n">
        <v>4</v>
      </c>
      <c r="D5" t="n">
        <v>13</v>
      </c>
      <c r="E5">
        <f>C5/(C5+D5)</f>
        <v/>
      </c>
      <c r="F5" t="n">
        <v>-128</v>
      </c>
      <c r="G5" t="n">
        <v>8</v>
      </c>
      <c r="H5" t="n">
        <v>517078</v>
      </c>
      <c r="I5" t="n">
        <v>64634.75</v>
      </c>
    </row>
    <row r="6">
      <c r="A6" t="inlineStr">
        <is>
          <t>BAL</t>
        </is>
      </c>
      <c r="B6" t="inlineStr">
        <is>
          <t>AFC North</t>
        </is>
      </c>
      <c r="C6" t="n">
        <v>12</v>
      </c>
      <c r="D6" t="n">
        <v>5</v>
      </c>
      <c r="E6">
        <f>C6/(C6+D6)</f>
        <v/>
      </c>
      <c r="F6" t="n">
        <v>157</v>
      </c>
      <c r="G6" t="n">
        <v>8</v>
      </c>
      <c r="H6" t="n">
        <v>568423</v>
      </c>
      <c r="I6" t="n">
        <v>71052.875</v>
      </c>
    </row>
    <row r="7">
      <c r="A7" t="inlineStr">
        <is>
          <t>PIT</t>
        </is>
      </c>
      <c r="B7" t="inlineStr">
        <is>
          <t>AFC North</t>
        </is>
      </c>
      <c r="C7" t="n">
        <v>10</v>
      </c>
      <c r="D7" t="n">
        <v>7</v>
      </c>
      <c r="E7">
        <f>C7/(C7+D7)</f>
        <v/>
      </c>
      <c r="F7" t="n">
        <v>33</v>
      </c>
      <c r="G7" t="n">
        <v>8</v>
      </c>
      <c r="H7" t="n">
        <v>535045</v>
      </c>
      <c r="I7" t="n">
        <v>66880.625</v>
      </c>
    </row>
    <row r="8">
      <c r="A8" t="inlineStr">
        <is>
          <t>CIN</t>
        </is>
      </c>
      <c r="B8" t="inlineStr">
        <is>
          <t>AFC North</t>
        </is>
      </c>
      <c r="C8" t="n">
        <v>9</v>
      </c>
      <c r="D8" t="n">
        <v>8</v>
      </c>
      <c r="E8">
        <f>C8/(C8+D8)</f>
        <v/>
      </c>
      <c r="F8" t="n">
        <v>38</v>
      </c>
      <c r="G8" t="n">
        <v>8</v>
      </c>
      <c r="H8" t="n">
        <v>530355</v>
      </c>
      <c r="I8" t="n">
        <v>66294.375</v>
      </c>
    </row>
    <row r="9">
      <c r="A9" t="inlineStr">
        <is>
          <t>CLE</t>
        </is>
      </c>
      <c r="B9" t="inlineStr">
        <is>
          <t>AFC North</t>
        </is>
      </c>
      <c r="C9" t="n">
        <v>3</v>
      </c>
      <c r="D9" t="n">
        <v>14</v>
      </c>
      <c r="E9">
        <f>C9/(C9+D9)</f>
        <v/>
      </c>
      <c r="F9" t="n">
        <v>-177</v>
      </c>
      <c r="G9" t="n">
        <v>8</v>
      </c>
      <c r="H9" t="n">
        <v>541808</v>
      </c>
      <c r="I9" t="n">
        <v>67726</v>
      </c>
    </row>
    <row r="10">
      <c r="A10" t="inlineStr">
        <is>
          <t>HOU</t>
        </is>
      </c>
      <c r="B10" t="inlineStr">
        <is>
          <t>AFC South</t>
        </is>
      </c>
      <c r="C10" t="n">
        <v>10</v>
      </c>
      <c r="D10" t="n">
        <v>7</v>
      </c>
      <c r="E10">
        <f>C10/(C10+D10)</f>
        <v/>
      </c>
      <c r="F10" t="n">
        <v>0</v>
      </c>
      <c r="G10" t="n">
        <v>8</v>
      </c>
      <c r="H10" t="n">
        <v>570666</v>
      </c>
      <c r="I10" t="n">
        <v>71333.25</v>
      </c>
    </row>
    <row r="11">
      <c r="A11" t="inlineStr">
        <is>
          <t>IND</t>
        </is>
      </c>
      <c r="B11" t="inlineStr">
        <is>
          <t>AFC South</t>
        </is>
      </c>
      <c r="C11" t="n">
        <v>8</v>
      </c>
      <c r="D11" t="n">
        <v>9</v>
      </c>
      <c r="E11">
        <f>C11/(C11+D11)</f>
        <v/>
      </c>
      <c r="F11" t="n">
        <v>-50</v>
      </c>
      <c r="G11" t="n">
        <v>8</v>
      </c>
      <c r="H11" t="n">
        <v>526138</v>
      </c>
      <c r="I11" t="n">
        <v>65767.25</v>
      </c>
    </row>
    <row r="12">
      <c r="A12" t="inlineStr">
        <is>
          <t>JAX</t>
        </is>
      </c>
      <c r="B12" t="inlineStr">
        <is>
          <t>AFC South</t>
        </is>
      </c>
      <c r="C12" t="n">
        <v>4</v>
      </c>
      <c r="D12" t="n">
        <v>13</v>
      </c>
      <c r="E12">
        <f>C12/(C12+D12)</f>
        <v/>
      </c>
      <c r="F12" t="n">
        <v>-115</v>
      </c>
      <c r="G12" t="n">
        <v>8</v>
      </c>
      <c r="H12" t="n">
        <v>526117</v>
      </c>
      <c r="I12" t="n">
        <v>65764.625</v>
      </c>
    </row>
    <row r="13">
      <c r="A13" t="inlineStr">
        <is>
          <t>TEN</t>
        </is>
      </c>
      <c r="B13" t="inlineStr">
        <is>
          <t>AFC South</t>
        </is>
      </c>
      <c r="C13" t="n">
        <v>3</v>
      </c>
      <c r="D13" t="n">
        <v>14</v>
      </c>
      <c r="E13">
        <f>C13/(C13+D13)</f>
        <v/>
      </c>
      <c r="F13" t="n">
        <v>-149</v>
      </c>
      <c r="G13" t="n">
        <v>8</v>
      </c>
      <c r="H13" t="n">
        <v>518556</v>
      </c>
      <c r="I13" t="n">
        <v>64819.5</v>
      </c>
    </row>
    <row r="14">
      <c r="A14" t="inlineStr">
        <is>
          <t>KC</t>
        </is>
      </c>
      <c r="B14" t="inlineStr">
        <is>
          <t>AFC West</t>
        </is>
      </c>
      <c r="C14" t="n">
        <v>15</v>
      </c>
      <c r="D14" t="n">
        <v>2</v>
      </c>
      <c r="E14">
        <f>C14/(C14+D14)</f>
        <v/>
      </c>
      <c r="F14" t="n">
        <v>59</v>
      </c>
      <c r="G14" t="n">
        <v>8</v>
      </c>
      <c r="H14" t="n">
        <v>441559</v>
      </c>
      <c r="I14" t="n">
        <v>55194.875</v>
      </c>
    </row>
    <row r="15">
      <c r="A15" t="inlineStr">
        <is>
          <t>LAC</t>
        </is>
      </c>
      <c r="B15" t="inlineStr">
        <is>
          <t>AFC West</t>
        </is>
      </c>
      <c r="C15" t="n">
        <v>11</v>
      </c>
      <c r="D15" t="n">
        <v>6</v>
      </c>
      <c r="E15">
        <f>C15/(C15+D15)</f>
        <v/>
      </c>
      <c r="F15" t="n">
        <v>101</v>
      </c>
      <c r="G15" t="n">
        <v>8</v>
      </c>
      <c r="H15" t="n">
        <v>559732</v>
      </c>
      <c r="I15" t="n">
        <v>69966.5</v>
      </c>
    </row>
    <row r="16">
      <c r="A16" t="inlineStr">
        <is>
          <t>DEN</t>
        </is>
      </c>
      <c r="B16" t="inlineStr">
        <is>
          <t>AFC West</t>
        </is>
      </c>
      <c r="C16" t="n">
        <v>10</v>
      </c>
      <c r="D16" t="n">
        <v>7</v>
      </c>
      <c r="E16">
        <f>C16/(C16+D16)</f>
        <v/>
      </c>
      <c r="F16" t="n">
        <v>114</v>
      </c>
      <c r="G16" t="n">
        <v>8</v>
      </c>
      <c r="H16" t="n">
        <v>591754</v>
      </c>
      <c r="I16" t="n">
        <v>73969.25</v>
      </c>
    </row>
    <row r="17">
      <c r="A17" t="inlineStr">
        <is>
          <t>LV</t>
        </is>
      </c>
      <c r="B17" t="inlineStr">
        <is>
          <t>AFC West</t>
        </is>
      </c>
      <c r="C17" t="n">
        <v>4</v>
      </c>
      <c r="D17" t="n">
        <v>13</v>
      </c>
      <c r="E17">
        <f>C17/(C17+D17)</f>
        <v/>
      </c>
      <c r="F17" t="n">
        <v>-125</v>
      </c>
      <c r="G17" t="n">
        <v>8</v>
      </c>
      <c r="H17" t="n">
        <v>497403</v>
      </c>
      <c r="I17" t="n">
        <v>62175.375</v>
      </c>
    </row>
    <row r="18">
      <c r="A18" t="inlineStr">
        <is>
          <t>PHI</t>
        </is>
      </c>
      <c r="B18" t="inlineStr">
        <is>
          <t>NFC East</t>
        </is>
      </c>
      <c r="C18" t="n">
        <v>14</v>
      </c>
      <c r="D18" t="n">
        <v>3</v>
      </c>
      <c r="E18">
        <f>C18/(C18+D18)</f>
        <v/>
      </c>
      <c r="F18" t="n">
        <v>160</v>
      </c>
      <c r="G18" t="n">
        <v>8</v>
      </c>
      <c r="H18" t="n">
        <v>559032</v>
      </c>
      <c r="I18" t="n">
        <v>69879</v>
      </c>
    </row>
    <row r="19">
      <c r="A19" t="inlineStr">
        <is>
          <t>WAS</t>
        </is>
      </c>
      <c r="B19" t="inlineStr">
        <is>
          <t>NFC East</t>
        </is>
      </c>
      <c r="C19" t="n">
        <v>12</v>
      </c>
      <c r="D19" t="n">
        <v>5</v>
      </c>
      <c r="E19">
        <f>C19/(C19+D19)</f>
        <v/>
      </c>
      <c r="F19" t="n">
        <v>94</v>
      </c>
      <c r="G19" t="n">
        <v>9</v>
      </c>
      <c r="H19" t="n">
        <v>570854</v>
      </c>
      <c r="I19" t="n">
        <v>63428.22222222222</v>
      </c>
    </row>
    <row r="20">
      <c r="A20" t="inlineStr">
        <is>
          <t>DAL</t>
        </is>
      </c>
      <c r="B20" t="inlineStr">
        <is>
          <t>NFC East</t>
        </is>
      </c>
      <c r="C20" t="n">
        <v>7</v>
      </c>
      <c r="D20" t="n">
        <v>10</v>
      </c>
      <c r="E20">
        <f>C20/(C20+D20)</f>
        <v/>
      </c>
      <c r="F20" t="n">
        <v>-118</v>
      </c>
      <c r="G20" t="n">
        <v>9</v>
      </c>
      <c r="H20" t="n">
        <v>836749</v>
      </c>
      <c r="I20" t="n">
        <v>92972.11111111111</v>
      </c>
    </row>
    <row r="21">
      <c r="A21" t="inlineStr">
        <is>
          <t>NYG</t>
        </is>
      </c>
      <c r="B21" t="inlineStr">
        <is>
          <t>NFC East</t>
        </is>
      </c>
      <c r="C21" t="n">
        <v>3</v>
      </c>
      <c r="D21" t="n">
        <v>14</v>
      </c>
      <c r="E21">
        <f>C21/(C21+D21)</f>
        <v/>
      </c>
      <c r="F21" t="n">
        <v>-142</v>
      </c>
      <c r="G21" t="n">
        <v>9</v>
      </c>
      <c r="H21" t="n">
        <v>706231</v>
      </c>
      <c r="I21" t="n">
        <v>78470.11111111111</v>
      </c>
    </row>
    <row r="22">
      <c r="A22" t="inlineStr">
        <is>
          <t>DET</t>
        </is>
      </c>
      <c r="B22" t="inlineStr">
        <is>
          <t>NFC North</t>
        </is>
      </c>
      <c r="C22" t="n">
        <v>15</v>
      </c>
      <c r="D22" t="n">
        <v>2</v>
      </c>
      <c r="E22">
        <f>C22/(C22+D22)</f>
        <v/>
      </c>
      <c r="F22" t="n">
        <v>222</v>
      </c>
      <c r="G22" t="n">
        <v>9</v>
      </c>
      <c r="H22" t="n">
        <v>584300</v>
      </c>
      <c r="I22" t="n">
        <v>64922.22222222222</v>
      </c>
    </row>
    <row r="23">
      <c r="A23" t="inlineStr">
        <is>
          <t>MIN</t>
        </is>
      </c>
      <c r="B23" t="inlineStr">
        <is>
          <t>NFC North</t>
        </is>
      </c>
      <c r="C23" t="n">
        <v>14</v>
      </c>
      <c r="D23" t="n">
        <v>3</v>
      </c>
      <c r="E23">
        <f>C23/(C23+D23)</f>
        <v/>
      </c>
      <c r="F23" t="n">
        <v>100</v>
      </c>
      <c r="G23" t="n">
        <v>9</v>
      </c>
      <c r="H23" t="n">
        <v>596577</v>
      </c>
      <c r="I23" t="n">
        <v>66286.33333333333</v>
      </c>
    </row>
    <row r="24">
      <c r="A24" t="inlineStr">
        <is>
          <t>GB</t>
        </is>
      </c>
      <c r="B24" t="inlineStr">
        <is>
          <t>NFC North</t>
        </is>
      </c>
      <c r="C24" t="n">
        <v>11</v>
      </c>
      <c r="D24" t="n">
        <v>6</v>
      </c>
      <c r="E24">
        <f>C24/(C24+D24)</f>
        <v/>
      </c>
      <c r="F24" t="n">
        <v>122</v>
      </c>
      <c r="G24" t="n">
        <v>9</v>
      </c>
      <c r="H24" t="n">
        <v>702030</v>
      </c>
      <c r="I24" t="n">
        <v>78003.33333333333</v>
      </c>
    </row>
    <row r="25">
      <c r="A25" t="inlineStr">
        <is>
          <t>CHI</t>
        </is>
      </c>
      <c r="B25" t="inlineStr">
        <is>
          <t>NFC North</t>
        </is>
      </c>
      <c r="C25" t="n">
        <v>5</v>
      </c>
      <c r="D25" t="n">
        <v>12</v>
      </c>
      <c r="E25">
        <f>C25/(C25+D25)</f>
        <v/>
      </c>
      <c r="F25" t="n">
        <v>-60</v>
      </c>
      <c r="G25" t="n">
        <v>9</v>
      </c>
      <c r="H25" t="n">
        <v>527841</v>
      </c>
      <c r="I25" t="n">
        <v>58649</v>
      </c>
    </row>
    <row r="26">
      <c r="A26" t="inlineStr">
        <is>
          <t>TB</t>
        </is>
      </c>
      <c r="B26" t="inlineStr">
        <is>
          <t>NFC South</t>
        </is>
      </c>
      <c r="C26" t="n">
        <v>10</v>
      </c>
      <c r="D26" t="n">
        <v>7</v>
      </c>
      <c r="E26">
        <f>C26/(C26+D26)</f>
        <v/>
      </c>
      <c r="F26" t="n">
        <v>117</v>
      </c>
      <c r="G26" t="n">
        <v>9</v>
      </c>
      <c r="H26" t="n">
        <v>573205</v>
      </c>
      <c r="I26" t="n">
        <v>63689.44444444445</v>
      </c>
    </row>
    <row r="27">
      <c r="A27" t="inlineStr">
        <is>
          <t>ATL</t>
        </is>
      </c>
      <c r="B27" t="inlineStr">
        <is>
          <t>NFC South</t>
        </is>
      </c>
      <c r="C27" t="n">
        <v>8</v>
      </c>
      <c r="D27" t="n">
        <v>9</v>
      </c>
      <c r="E27">
        <f>C27/(C27+D27)</f>
        <v/>
      </c>
      <c r="F27" t="n">
        <v>-34</v>
      </c>
      <c r="G27" t="n">
        <v>9</v>
      </c>
      <c r="H27" t="n">
        <v>642432</v>
      </c>
      <c r="I27" t="n">
        <v>71381.33333333333</v>
      </c>
    </row>
    <row r="28">
      <c r="A28" t="inlineStr">
        <is>
          <t>CAR</t>
        </is>
      </c>
      <c r="B28" t="inlineStr">
        <is>
          <t>NFC South</t>
        </is>
      </c>
      <c r="C28" t="n">
        <v>5</v>
      </c>
      <c r="D28" t="n">
        <v>12</v>
      </c>
      <c r="E28">
        <f>C28/(C28+D28)</f>
        <v/>
      </c>
      <c r="F28" t="n">
        <v>-193</v>
      </c>
      <c r="G28" t="n">
        <v>9</v>
      </c>
      <c r="H28" t="n">
        <v>635515</v>
      </c>
      <c r="I28" t="n">
        <v>70612.77777777778</v>
      </c>
    </row>
    <row r="29">
      <c r="A29" t="inlineStr">
        <is>
          <t>NO</t>
        </is>
      </c>
      <c r="B29" t="inlineStr">
        <is>
          <t>NFC South</t>
        </is>
      </c>
      <c r="C29" t="n">
        <v>5</v>
      </c>
      <c r="D29" t="n">
        <v>12</v>
      </c>
      <c r="E29">
        <f>C29/(C29+D29)</f>
        <v/>
      </c>
      <c r="F29" t="n">
        <v>-60</v>
      </c>
      <c r="G29" t="n">
        <v>9</v>
      </c>
      <c r="H29" t="n">
        <v>630113</v>
      </c>
      <c r="I29" t="n">
        <v>70012.55555555556</v>
      </c>
    </row>
    <row r="30">
      <c r="A30" t="inlineStr">
        <is>
          <t>LAR</t>
        </is>
      </c>
      <c r="B30" t="inlineStr">
        <is>
          <t>NFC West</t>
        </is>
      </c>
      <c r="C30" t="n">
        <v>10</v>
      </c>
      <c r="D30" t="n">
        <v>7</v>
      </c>
      <c r="E30">
        <f>C30/(C30+D30)</f>
        <v/>
      </c>
      <c r="F30" t="n">
        <v>-19</v>
      </c>
      <c r="G30" t="n">
        <v>9</v>
      </c>
      <c r="H30" t="n">
        <v>658748</v>
      </c>
      <c r="I30" t="n">
        <v>73194.22222222222</v>
      </c>
    </row>
    <row r="31">
      <c r="A31" t="inlineStr">
        <is>
          <t>SEA</t>
        </is>
      </c>
      <c r="B31" t="inlineStr">
        <is>
          <t>NFC West</t>
        </is>
      </c>
      <c r="C31" t="n">
        <v>10</v>
      </c>
      <c r="D31" t="n">
        <v>7</v>
      </c>
      <c r="E31">
        <f>C31/(C31+D31)</f>
        <v/>
      </c>
      <c r="F31" t="n">
        <v>7</v>
      </c>
      <c r="G31" t="n">
        <v>9</v>
      </c>
      <c r="H31" t="n">
        <v>617945</v>
      </c>
      <c r="I31" t="n">
        <v>68660.55555555556</v>
      </c>
    </row>
    <row r="32">
      <c r="A32" t="inlineStr">
        <is>
          <t>ARI</t>
        </is>
      </c>
      <c r="B32" t="inlineStr">
        <is>
          <t>NFC West</t>
        </is>
      </c>
      <c r="C32" t="n">
        <v>8</v>
      </c>
      <c r="D32" t="n">
        <v>9</v>
      </c>
      <c r="E32">
        <f>C32/(C32+D32)</f>
        <v/>
      </c>
      <c r="F32" t="n">
        <v>-7</v>
      </c>
      <c r="G32" t="n">
        <v>9</v>
      </c>
      <c r="H32" t="n">
        <v>575780</v>
      </c>
      <c r="I32" t="n">
        <v>63975.55555555555</v>
      </c>
    </row>
    <row r="33">
      <c r="A33" t="inlineStr">
        <is>
          <t>SF</t>
        </is>
      </c>
      <c r="B33" t="inlineStr">
        <is>
          <t>NFC West</t>
        </is>
      </c>
      <c r="C33" t="n">
        <v>6</v>
      </c>
      <c r="D33" t="n">
        <v>11</v>
      </c>
      <c r="E33">
        <f>C33/(C33+D33)</f>
        <v/>
      </c>
      <c r="F33" t="n">
        <v>-47</v>
      </c>
      <c r="G33" t="n">
        <v>9</v>
      </c>
      <c r="H33" t="n">
        <v>642803</v>
      </c>
      <c r="I33" t="n">
        <v>71422.55555555556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NFL Attendance &amp; Performance Dashboard — 2024</t>
        </is>
      </c>
    </row>
    <row r="3">
      <c r="A3" s="3" t="inlineStr">
        <is>
          <t>Total home attendance</t>
        </is>
      </c>
      <c r="B3">
        <f>SUM('Team Data'!H2:H33)</f>
        <v/>
      </c>
    </row>
    <row r="4">
      <c r="A4" s="3" t="inlineStr">
        <is>
          <t>Average home attendance</t>
        </is>
      </c>
      <c r="B4">
        <f>AVERAGE('Team Data'!I2:I33)</f>
        <v/>
      </c>
    </row>
    <row r="5">
      <c r="A5" s="3" t="inlineStr">
        <is>
          <t>Average wins</t>
        </is>
      </c>
      <c r="B5">
        <f>AVERAGE('Team Data'!C2:C33)</f>
        <v/>
      </c>
    </row>
    <row r="6">
      <c r="A6" s="3" t="inlineStr">
        <is>
          <t>Best record</t>
        </is>
      </c>
      <c r="B6">
        <f>MAX('Team Data'!C2:C33)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2026-09-15T14:08:49Z</dcterms:created>
  <dcterms:modified xmlns:dcterms="http://purl.org/dc/terms/" xmlns:xsi="http://www.w3.org/2001/XMLSchema-instance" xsi:type="dcterms:W3CDTF">2026-09-15T14:08:49Z</dcterms:modified>
</cp:coreProperties>
</file>